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10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J2" i="13"/>
  <c r="J10" i="1"/>
  <c r="L2" i="5"/>
  <c r="K2" i="5"/>
  <c r="J2" i="5"/>
  <c r="L2" i="12"/>
  <c r="G16" i="12"/>
  <c r="K2" i="12"/>
  <c r="G14" i="12"/>
  <c r="G12" i="12"/>
  <c r="J2" i="12"/>
  <c r="K10" i="7"/>
  <c r="K9" i="7"/>
  <c r="K8" i="7"/>
  <c r="K7" i="7"/>
  <c r="K6" i="7"/>
  <c r="K5" i="7"/>
  <c r="K4" i="7"/>
  <c r="K3" i="7"/>
  <c r="K2" i="7"/>
  <c r="J10" i="7"/>
  <c r="J9" i="7"/>
  <c r="J7" i="7"/>
  <c r="J8" i="7"/>
  <c r="J6" i="7"/>
  <c r="J5" i="7"/>
  <c r="J4" i="7"/>
  <c r="J3" i="7"/>
  <c r="J2" i="7"/>
  <c r="L10" i="7"/>
  <c r="L9" i="7"/>
  <c r="L8" i="7"/>
  <c r="L7" i="7"/>
  <c r="L6" i="7"/>
  <c r="L5" i="7"/>
  <c r="L4" i="7"/>
  <c r="L3" i="7"/>
  <c r="L2" i="7"/>
  <c r="J9" i="1" l="1"/>
  <c r="J8" i="1"/>
  <c r="J7" i="1"/>
  <c r="J6" i="1"/>
  <c r="J5" i="1"/>
  <c r="J4" i="1"/>
  <c r="J3" i="1"/>
  <c r="J2" i="1"/>
  <c r="J10" i="6"/>
  <c r="J9" i="6"/>
  <c r="J8" i="6"/>
  <c r="J7" i="6"/>
  <c r="J6" i="6"/>
  <c r="J5" i="6"/>
  <c r="J4" i="6"/>
  <c r="J3" i="6"/>
  <c r="J2" i="6"/>
  <c r="O10" i="3"/>
  <c r="O9" i="3"/>
  <c r="O8" i="3"/>
  <c r="O7" i="3"/>
  <c r="O6" i="3"/>
  <c r="O5" i="3"/>
  <c r="O4" i="3"/>
  <c r="O3" i="3"/>
  <c r="O2" i="3"/>
  <c r="J3" i="3"/>
  <c r="J4" i="3"/>
  <c r="J5" i="3"/>
  <c r="J6" i="3"/>
  <c r="J7" i="3"/>
  <c r="J8" i="3"/>
  <c r="J9" i="3"/>
  <c r="J10" i="3"/>
  <c r="J2" i="3"/>
  <c r="M10" i="4"/>
  <c r="M9" i="4"/>
  <c r="M8" i="4"/>
  <c r="M7" i="4"/>
  <c r="M6" i="4"/>
  <c r="M5" i="4"/>
  <c r="M4" i="4"/>
  <c r="M3" i="4"/>
  <c r="M2" i="4"/>
  <c r="L10" i="4"/>
  <c r="L9" i="4"/>
  <c r="L8" i="4"/>
  <c r="L7" i="4"/>
  <c r="L6" i="4"/>
  <c r="L5" i="4"/>
  <c r="L4" i="4"/>
  <c r="L3" i="4"/>
  <c r="L2" i="4"/>
  <c r="K10" i="4"/>
  <c r="K9" i="4"/>
  <c r="K8" i="4"/>
  <c r="K7" i="4"/>
  <c r="K6" i="4"/>
  <c r="K5" i="4"/>
  <c r="K4" i="4"/>
  <c r="K3" i="4"/>
  <c r="K2" i="4"/>
  <c r="J10" i="2"/>
  <c r="J9" i="2"/>
  <c r="J8" i="2"/>
  <c r="J7" i="2"/>
  <c r="J6" i="2"/>
  <c r="J5" i="2"/>
  <c r="J4" i="2"/>
  <c r="J3" i="2"/>
  <c r="J2" i="2"/>
  <c r="K2" i="8"/>
  <c r="K3" i="8"/>
  <c r="K4" i="8"/>
  <c r="K5" i="8"/>
  <c r="K6" i="8"/>
  <c r="K7" i="8"/>
  <c r="K8" i="8"/>
  <c r="K9" i="8"/>
  <c r="K10" i="8"/>
  <c r="J10" i="8"/>
  <c r="J9" i="8"/>
  <c r="J8" i="8"/>
  <c r="J7" i="8"/>
  <c r="J6" i="8"/>
  <c r="J5" i="8"/>
  <c r="J4" i="8"/>
  <c r="J3" i="8"/>
  <c r="J2" i="8"/>
  <c r="J3" i="9"/>
  <c r="K4" i="9"/>
  <c r="J4" i="9"/>
  <c r="K3" i="9"/>
  <c r="K2" i="9"/>
  <c r="J2" i="9"/>
  <c r="L10" i="8"/>
  <c r="L6" i="8"/>
  <c r="L5" i="8"/>
  <c r="L4" i="8"/>
  <c r="L8" i="8"/>
  <c r="L7" i="8"/>
  <c r="L2" i="8"/>
  <c r="L3" i="8"/>
  <c r="L9" i="8"/>
  <c r="H11" i="1" l="1"/>
  <c r="H12" i="1"/>
</calcChain>
</file>

<file path=xl/sharedStrings.xml><?xml version="1.0" encoding="utf-8"?>
<sst xmlns="http://schemas.openxmlformats.org/spreadsheetml/2006/main" count="607" uniqueCount="108">
  <si>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</si>
  <si>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</si>
  <si>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</si>
  <si>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</si>
  <si>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</si>
  <si>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</si>
  <si>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</si>
  <si>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</si>
  <si>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</si>
  <si>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</si>
  <si>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</si>
  <si>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</si>
  <si>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</si>
  <si>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</si>
  <si>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</si>
  <si>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</si>
  <si>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</si>
  <si>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</si>
  <si>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</si>
  <si>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</si>
  <si>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</si>
  <si>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</si>
  <si>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</si>
  <si>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</si>
  <si>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</si>
  <si>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</si>
  <si>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</si>
  <si>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</si>
  <si>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</si>
  <si>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</si>
  <si>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</si>
  <si>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</si>
  <si>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</si>
  <si>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</si>
  <si>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</si>
  <si>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</si>
  <si>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</si>
  <si>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</si>
  <si>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</si>
  <si>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</si>
  <si>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</si>
  <si>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</si>
  <si>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</si>
  <si>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</si>
  <si>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</si>
  <si>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</si>
  <si>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</si>
  <si>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</si>
  <si>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</si>
  <si>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</si>
  <si>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</si>
  <si>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</si>
  <si>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</si>
  <si>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</si>
  <si>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</si>
  <si>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</si>
  <si>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</si>
  <si>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</si>
  <si>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</si>
  <si>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</si>
  <si>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</si>
  <si>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</si>
  <si>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</si>
  <si>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</si>
  <si>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</si>
  <si>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</si>
  <si>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</si>
  <si>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</si>
  <si>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</si>
  <si>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</si>
  <si>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</si>
  <si>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</si>
  <si>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</si>
  <si>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</si>
  <si>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</si>
  <si>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</si>
  <si>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</si>
  <si>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</si>
  <si>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</si>
  <si>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</si>
  <si>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</si>
  <si>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</si>
  <si>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</si>
  <si>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</si>
  <si>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</si>
  <si>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</si>
  <si>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</si>
  <si>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</si>
  <si>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Here we converted</t>
  </si>
  <si>
    <t>to the text fromat</t>
  </si>
  <si>
    <t>02/11/2001</t>
  </si>
  <si>
    <t>03/10/1999</t>
  </si>
  <si>
    <t>04/07/2000</t>
  </si>
  <si>
    <t>05/01/2000</t>
  </si>
  <si>
    <t>06/05/2001</t>
  </si>
  <si>
    <t>07/12/1995</t>
  </si>
  <si>
    <t>08/11/2003</t>
  </si>
  <si>
    <t>09/06/2002</t>
  </si>
  <si>
    <t>10/08/2003</t>
  </si>
  <si>
    <t>that is general,</t>
  </si>
  <si>
    <t>we can extract the year.</t>
  </si>
  <si>
    <t>Date_In_Text</t>
  </si>
  <si>
    <t>Date_To_Year</t>
  </si>
  <si>
    <t>1st instance wala jha pehli baar dikhega use replace krega and 2nd vala jha use 2nd tym dikhega vaha replace krega</t>
  </si>
  <si>
    <t>Here it will take the value from the G col and add them according to the condition applied with cold D and E</t>
  </si>
  <si>
    <t>This data dipict person whos age is greater than 32 and gender male add their sums.</t>
  </si>
  <si>
    <t>These are Male,age&gt;32,salary&gt;45000</t>
  </si>
  <si>
    <t>Its give count after removing the weekends and the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</si>
</sst>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5" sqref="J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MAX(D2:D10)</f>
        <v>38</v>
      </c>
      <c r="K4">
        <f>MIN(D2:D10)</f>
        <v>29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G21" sqref="G21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82</v>
      </c>
      <c r="L1" t="s">
        <v>83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 30,"Adult","Young")</f>
        <v>Young</v>
      </c>
      <c r="K2" t="str">
        <f>IF(E2:E10 ="Male","Mard","Aurat")</f>
        <v>Mard</v>
      </c>
      <c r="L2" t="e">
        <f ca="1">IFS(F2:F10 = "Salesman","Sales",F2:F10 = "Receptionist","Reception",F2:F10 = "Accountant","Banking")</f>
        <v>#NAME?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IF(D2:D10 &gt; 30,"Adult","Young")</f>
        <v>Young</v>
      </c>
      <c r="K3" t="str">
        <f>IF(E2:E10 ="Male","Mard","Aurat")</f>
        <v>Aurat</v>
      </c>
      <c r="L3" t="e">
        <f ca="1">IFS(F2:F10 = "Salesman","Sales",F2:F10 = "Receptionist","Reception",F2:F10 = "Accountant","Banking")</f>
        <v>#NAME?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>IF(D2:D10 &gt; 30,"Adult","Young")</f>
        <v>Young</v>
      </c>
      <c r="K4" t="str">
        <f>IF(E2:E10 ="Male","Mard","Aurat")</f>
        <v>Mard</v>
      </c>
      <c r="L4" t="e">
        <f ca="1">IFS(F2:F10 = "Salesman","Sales",F2:F10 = "Receptionist","Reception",F2:F10 = "Accountant","Banking")</f>
        <v>#NAME?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>IF(D2:D10 &gt; 30,"Adult","Young")</f>
        <v>Adult</v>
      </c>
      <c r="K5" t="str">
        <f>IF(E2:E10 ="Male","Mard","Aurat")</f>
        <v>Aurat</v>
      </c>
      <c r="L5" t="e">
        <f ca="1">IFS(F2:F10 = "Salesman","Sales",F2:F10 = "Receptionist","Reception",F2:F10 = "Accountant","Banking")</f>
        <v>#NAME?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>IF(D2:D10 &gt; 30,"Adult","Young")</f>
        <v>Adult</v>
      </c>
      <c r="K6" t="str">
        <f>IF(E2:E10 ="Male","Mard","Aurat")</f>
        <v>Mard</v>
      </c>
      <c r="L6" t="e">
        <f ca="1">IFS(F2:F10 = "Salesman","Sales",F2:F10 = "Receptionist","Reception",F2:F10 = "Accountant","Banking")</f>
        <v>#NAME?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>IF(D2:D10 &gt; 30,"Adult","Young")</f>
        <v>Adult</v>
      </c>
      <c r="K7" t="str">
        <f>IF(E2:E10 ="Male","Mard","Aurat")</f>
        <v>Mard</v>
      </c>
      <c r="L7" t="e">
        <f ca="1">IFS(F2:F10 = "Salesman","Sales",F2:F10 = "Receptionist","Reception",F2:F10 = "Accountant","Banking")</f>
        <v>#NAME?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>IF(D2:D10 &gt; 30,"Adult","Young")</f>
        <v>Adult</v>
      </c>
      <c r="K8" t="str">
        <f>IF(E2:E10 ="Male","Mard","Aurat")</f>
        <v>Aurat</v>
      </c>
      <c r="L8" t="e">
        <f ca="1">IFS(F2:F10 = "Salesman","Sales",F2:F10 = "Receptionist","Reception",F2:F10 = "Accountant","Banking")</f>
        <v>#NAME?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>IF(D2:D10 &gt; 30,"Adult","Young")</f>
        <v>Adult</v>
      </c>
      <c r="K9" t="str">
        <f>IF(E2:E10 ="Male","Mard","Aurat")</f>
        <v>Mard</v>
      </c>
      <c r="L9" t="e">
        <f ca="1">IFS(F2:F10 = "Salesman","Sales",F2:F10 = "Receptionist","Reception",F2:F10 = "Accountant","Banking")</f>
        <v>#NAME?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>IF(D2:D10 &gt; 30,"Adult","Young")</f>
        <v>Adult</v>
      </c>
      <c r="K10" t="str">
        <f>IF(E2:E10 ="Male","Mard","Aurat")</f>
        <v>Mard</v>
      </c>
      <c r="L10" t="e">
        <f ca="1">IFS(F2:F10 = "Salesman","Sales",F2:F10 = "Receptionist","Reception",F2:F10 = "Accountant","Banking")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J11" sqref="J11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LEN(C2:C10)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LEN(C2:C10)</f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>LEN(C2:C10)</f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>LEN(C2:C10)</f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>LEN(C2:C10)</f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>LEN(C2:C10)</f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>LEN(C2:C10)</f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>LEN(C2:C10)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topLeftCell="B1"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40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>LEFT(B2:B10,3)</f>
        <v>Pam</v>
      </c>
      <c r="L3" t="str">
        <f>RIGHT(A2:A10,1)</f>
        <v>2</v>
      </c>
      <c r="M3" t="str">
        <f>RIGHT(H2:H10,4)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>LEFT(B2:B10,3)</f>
        <v>Dwi</v>
      </c>
      <c r="L4" t="str">
        <f>RIGHT(A2:A10,1)</f>
        <v>3</v>
      </c>
      <c r="M4" t="str">
        <f>RIGHT(H2:H10,4)</f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>LEFT(B2:B10,3)</f>
        <v>Ang</v>
      </c>
      <c r="L5" t="str">
        <f>RIGHT(A2:A10,1)</f>
        <v>4</v>
      </c>
      <c r="M5" t="str">
        <f>RIGHT(H2:H10,4)</f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>LEFT(B2:B10,3)</f>
        <v>Tob</v>
      </c>
      <c r="L6" t="str">
        <f>RIGHT(A2:A10,1)</f>
        <v>5</v>
      </c>
      <c r="M6" t="str">
        <f>RIGHT(H2:H10,4)</f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>LEFT(B2:B10,3)</f>
        <v>Mic</v>
      </c>
      <c r="L7" t="str">
        <f>RIGHT(A2:A10,1)</f>
        <v>6</v>
      </c>
      <c r="M7" t="str">
        <f>RIGHT(H2:H10,4)</f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>LEFT(B2:B10,3)</f>
        <v>Mer</v>
      </c>
      <c r="L8" t="str">
        <f>RIGHT(A2:A10,1)</f>
        <v>7</v>
      </c>
      <c r="M8" t="str">
        <f>RIGHT(H2:H10,4)</f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>LEFT(B2:B10,3)</f>
        <v>Sta</v>
      </c>
      <c r="L9" t="str">
        <f>RIGHT(A2:A10,1)</f>
        <v>8</v>
      </c>
      <c r="M9" t="str">
        <f>RIGHT(H2:H10,4)</f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>LEFT(B2:B10,3)</f>
        <v>Kev</v>
      </c>
      <c r="L10" t="str">
        <f>RIGHT(A2:A10,1)</f>
        <v>9</v>
      </c>
      <c r="M10" t="str">
        <f>RIGHT(H2:H10,4)</f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13"/>
  <sheetViews>
    <sheetView workbookViewId="0">
      <selection activeCell="J2" sqref="J2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15.44140625" bestFit="1" customWidth="1"/>
  </cols>
  <sheetData>
    <row r="1" spans="1:15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N1" t="s">
        <v>101</v>
      </c>
      <c r="O1" t="s">
        <v>102</v>
      </c>
    </row>
    <row r="2" spans="1:15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4" t="str">
        <f>TEXT(H2:H10,"dd/mm/yyyy")</f>
        <v>02/11/2001</v>
      </c>
      <c r="K2" s="3" t="s">
        <v>88</v>
      </c>
      <c r="N2" t="s">
        <v>90</v>
      </c>
      <c r="O2" t="str">
        <f>RIGHT(N2:N10,4)</f>
        <v>2001</v>
      </c>
    </row>
    <row r="3" spans="1:15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4" t="str">
        <f t="shared" ref="J3:J10" si="0">TEXT(H3:H11,"dd/mm/yyyy")</f>
        <v>03/10/1999</v>
      </c>
      <c r="K3" s="3" t="s">
        <v>89</v>
      </c>
      <c r="N3" t="s">
        <v>91</v>
      </c>
      <c r="O3" t="str">
        <f>RIGHT(N2:N10,4)</f>
        <v>1999</v>
      </c>
    </row>
    <row r="4" spans="1:15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4" t="str">
        <f t="shared" si="0"/>
        <v>04/07/2000</v>
      </c>
      <c r="K4" s="3" t="s">
        <v>99</v>
      </c>
      <c r="N4" t="s">
        <v>92</v>
      </c>
      <c r="O4" t="str">
        <f>RIGHT(N2:N10,4)</f>
        <v>2000</v>
      </c>
    </row>
    <row r="5" spans="1:15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4" t="str">
        <f t="shared" si="0"/>
        <v>05/01/2000</v>
      </c>
      <c r="K5" s="3" t="s">
        <v>100</v>
      </c>
      <c r="N5" t="s">
        <v>93</v>
      </c>
      <c r="O5" t="str">
        <f>RIGHT(N2:N10,4)</f>
        <v>2000</v>
      </c>
    </row>
    <row r="6" spans="1:15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4" t="str">
        <f t="shared" si="0"/>
        <v>06/05/2001</v>
      </c>
      <c r="K6" s="3"/>
      <c r="N6" t="s">
        <v>94</v>
      </c>
      <c r="O6" t="str">
        <f>RIGHT(N2:N10,4)</f>
        <v>2001</v>
      </c>
    </row>
    <row r="7" spans="1:15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4" t="str">
        <f t="shared" si="0"/>
        <v>07/12/1995</v>
      </c>
      <c r="K7" s="3"/>
      <c r="N7" t="s">
        <v>95</v>
      </c>
      <c r="O7" t="str">
        <f>RIGHT(N2:N10,4)</f>
        <v>1995</v>
      </c>
    </row>
    <row r="8" spans="1:15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4" t="str">
        <f t="shared" si="0"/>
        <v>08/11/2003</v>
      </c>
      <c r="K8" s="3"/>
      <c r="N8" t="s">
        <v>96</v>
      </c>
      <c r="O8" t="str">
        <f>RIGHT(N2:N10,4)</f>
        <v>2003</v>
      </c>
    </row>
    <row r="9" spans="1:15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4" t="str">
        <f t="shared" si="0"/>
        <v>09/06/2002</v>
      </c>
      <c r="K9" s="3"/>
      <c r="N9" t="s">
        <v>97</v>
      </c>
      <c r="O9" t="str">
        <f>RIGHT(N2:N10,4)</f>
        <v>2002</v>
      </c>
    </row>
    <row r="10" spans="1:15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4" t="str">
        <f t="shared" si="0"/>
        <v>10/08/2003</v>
      </c>
      <c r="K10" s="3"/>
      <c r="N10" t="s">
        <v>98</v>
      </c>
      <c r="O10" t="str">
        <f>RIGHT(N2:N10,4)</f>
        <v>2003</v>
      </c>
    </row>
    <row r="12" spans="1:15" x14ac:dyDescent="0.3">
      <c r="H12" s="1"/>
    </row>
    <row r="13" spans="1:15" x14ac:dyDescent="0.3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M7" sqref="M7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TRIM(C2:C10)</f>
        <v>Beasley</v>
      </c>
    </row>
    <row r="4" spans="1:11" x14ac:dyDescent="0.3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>TRIM(C2:C10)</f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>TRIM(C2:C10)</f>
        <v>Martin</v>
      </c>
    </row>
    <row r="6" spans="1:11" x14ac:dyDescent="0.3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>TRIM(C2:C10)</f>
        <v>Flenderson</v>
      </c>
    </row>
    <row r="7" spans="1:11" x14ac:dyDescent="0.3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>TRIM(C2:C10)</f>
        <v>Scott</v>
      </c>
    </row>
    <row r="8" spans="1:11" x14ac:dyDescent="0.3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>TRIM(C2:C10)</f>
        <v>Palmer</v>
      </c>
    </row>
    <row r="9" spans="1:11" x14ac:dyDescent="0.3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>TRIM(C2:C10)</f>
        <v>Hudson</v>
      </c>
    </row>
    <row r="10" spans="1:11" x14ac:dyDescent="0.3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>TRIM(C2:C10)</f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topLeftCell="B1" workbookViewId="0">
      <selection activeCell="K16" sqref="K16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7" max="7" width="13.6640625" style="2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>SUBSTITUTE(H2:H10,"/","-",1)</f>
        <v>10-3/1999</v>
      </c>
      <c r="K3" t="str">
        <f>SUBSTITUTE(H2:H10,"/","-",2)</f>
        <v>10/3-1999</v>
      </c>
      <c r="L3" t="str">
        <f>SUBSTITUTE(H2:H10,"/","-")</f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>SUBSTITUTE(H2:H10,"/","-",1)</f>
        <v>7-4/2000</v>
      </c>
      <c r="K4" t="str">
        <f>SUBSTITUTE(H2:H10,"/","-",2)</f>
        <v>7/4-2000</v>
      </c>
      <c r="L4" t="str">
        <f>SUBSTITUTE(H2:H10,"/","-")</f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>SUBSTITUTE(H2:H10,"/","-",1)</f>
        <v>1-5/2000</v>
      </c>
      <c r="K5" t="str">
        <f>SUBSTITUTE(H2:H10,"/","-",2)</f>
        <v>1/5-2000</v>
      </c>
      <c r="L5" t="str">
        <f>SUBSTITUTE(H2:H10,"/","-")</f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>SUBSTITUTE(H2:H10,"/","-",1)</f>
        <v>5-6/2001</v>
      </c>
      <c r="K6" t="str">
        <f>SUBSTITUTE(H2:H10,"/","-",2)</f>
        <v>5/6-2001</v>
      </c>
      <c r="L6" t="str">
        <f>SUBSTITUTE(H2:H10,"/","-")</f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>SUBSTITUTE(H2:H10,"/","-",1)</f>
        <v>5-6/2001</v>
      </c>
      <c r="K7" t="str">
        <f>SUBSTITUTE(H2:H10,"/","-",2)</f>
        <v>5/6-2001</v>
      </c>
      <c r="L7" t="str">
        <f>SUBSTITUTE(H2:H10,"/","-")</f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>SUBSTITUTE(H2:H10,"/","-",1)</f>
        <v>11-8/2003</v>
      </c>
      <c r="K8" t="str">
        <f>SUBSTITUTE(H2:H10,"/","-",2)</f>
        <v>11/8-2003</v>
      </c>
      <c r="L8" t="str">
        <f>SUBSTITUTE(H2:H10,"/","-")</f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>SUBSTITUTE(H2:H10,"/","-",1)</f>
        <v>6-9/2002</v>
      </c>
      <c r="K9" t="str">
        <f>SUBSTITUTE(H2:H10,"/","-",2)</f>
        <v>6/9-2002</v>
      </c>
      <c r="L9" t="str">
        <f>SUBSTITUTE(H2:H10,"/","-")</f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>SUBSTITUTE(H2:H10,"/","-",1)</f>
        <v>8-10/2003</v>
      </c>
      <c r="K10" t="str">
        <f>SUBSTITUTE(H2:H10,"/","-",2)</f>
        <v>8/10-2003</v>
      </c>
      <c r="L10" t="str">
        <f>SUBSTITUTE(H2:H10,"/","-")</f>
        <v>8-10-2003</v>
      </c>
    </row>
    <row r="12" spans="1:12" x14ac:dyDescent="0.3">
      <c r="H12" s="3"/>
      <c r="I12" s="3"/>
    </row>
    <row r="13" spans="1:12" x14ac:dyDescent="0.3">
      <c r="H13" s="3"/>
      <c r="I13" s="3"/>
      <c r="J13" t="s">
        <v>103</v>
      </c>
    </row>
    <row r="14" spans="1:12" x14ac:dyDescent="0.3">
      <c r="H14" s="3"/>
      <c r="I14" s="3"/>
    </row>
    <row r="15" spans="1:12" x14ac:dyDescent="0.3">
      <c r="H15" s="3"/>
      <c r="I15" s="3"/>
    </row>
    <row r="16" spans="1:12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7"/>
  <sheetViews>
    <sheetView workbookViewId="0">
      <selection activeCell="H22" sqref="H22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SUMIFS(G2:G10,D2:D10,"&gt;32",E2:E10,"Male")</f>
        <v>113000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2" spans="1:12" x14ac:dyDescent="0.3">
      <c r="F12" s="5" t="s">
        <v>74</v>
      </c>
      <c r="G12">
        <f>SUM(G2:G10)</f>
        <v>437000</v>
      </c>
    </row>
    <row r="14" spans="1:12" x14ac:dyDescent="0.3">
      <c r="F14" s="5" t="s">
        <v>75</v>
      </c>
      <c r="G14">
        <f>SUMIF(G2:G10,"&gt;50000")</f>
        <v>128000</v>
      </c>
    </row>
    <row r="16" spans="1:12" x14ac:dyDescent="0.3">
      <c r="F16" s="5" t="s">
        <v>76</v>
      </c>
      <c r="G16">
        <f>SUMIFS(G2:G10,D2:D10,"&gt;32",E2:E10,"Male")</f>
        <v>113000</v>
      </c>
      <c r="H16" t="s">
        <v>104</v>
      </c>
    </row>
    <row r="17" spans="8:8" x14ac:dyDescent="0.3">
      <c r="H17" t="s">
        <v>105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K22" sqref="K2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COUNTIF(G2:G10,"&gt;45000")</f>
        <v>5</v>
      </c>
      <c r="L2">
        <f>COUNTIFS(E2:E10,"Male",D2:D10,"&gt;32",G2:G10,"&gt;45000")</f>
        <v>2</v>
      </c>
      <c r="M2" t="s">
        <v>106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12"/>
  <sheetViews>
    <sheetView workbookViewId="0">
      <selection activeCell="K26" sqref="K26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CONCATENATE(B2:B10," ",C2:C10)</f>
        <v>Jim Halpert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CONCATENATE(B2:B10," ",C2:C10)</f>
        <v>Pam Beasley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>CONCATENATE(B2:B10," ",C2:C10)</f>
        <v>Dwight Schrute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>CONCATENATE(B2:B10," ",C2:C10)</f>
        <v>Angela Martin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>CONCATENATE(B2:B10," ",C2:C10)</f>
        <v>Toby Flenderson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>CONCATENATE(B2:B10," ",C2:C10)</f>
        <v>Michael Scott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>CONCATENATE(B2:B10," ",C2:C10)</f>
        <v>Meredith Palmer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>CONCATENATE(B2:B10," ",C2:C10)</f>
        <v>Stanley Hudson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>CONCATENATE(B2:B10," ",C2:C10)</f>
        <v>Kevin Malone</v>
      </c>
    </row>
    <row r="11" spans="1:10" x14ac:dyDescent="0.3">
      <c r="H11" t="str">
        <f t="shared" ref="H11:H12" si="0">CONCATENATE(B11," ",C11)</f>
        <v xml:space="preserve"> </v>
      </c>
    </row>
    <row r="12" spans="1:10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tabSelected="1" workbookViewId="0">
      <selection activeCell="H26" sqref="H26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DAYS360(H2,I2)</f>
        <v>5158</v>
      </c>
      <c r="K2">
        <f>NETWORKDAYS(H2,I2)</f>
        <v>3737</v>
      </c>
      <c r="L2" t="s">
        <v>107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</cp:lastModifiedBy>
  <dcterms:created xsi:type="dcterms:W3CDTF">2021-12-16T14:18:34Z</dcterms:created>
  <dcterms:modified xsi:type="dcterms:W3CDTF">2026-02-08T17:02:29Z</dcterms:modified>
</cp:coreProperties>
</file>